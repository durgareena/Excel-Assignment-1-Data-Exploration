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z041411\Documents\Assignment 1\"/>
    </mc:Choice>
  </mc:AlternateContent>
  <xr:revisionPtr revIDLastSave="0" documentId="8_{829865BF-8B88-428A-811C-99559925C0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ignmen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J2" i="1" l="1" a="1"/>
  <c r="J2" i="1" s="1"/>
  <c r="I2" i="1" a="1"/>
  <c r="I2" i="1" s="1"/>
  <c r="H2" i="1" a="1"/>
  <c r="H2" i="1" s="1"/>
  <c r="L31" i="1"/>
  <c r="L27" i="1"/>
  <c r="G2" i="1" a="1"/>
  <c r="G2" i="1" s="1"/>
  <c r="L19" i="1"/>
  <c r="L15" i="1"/>
  <c r="L11" i="1"/>
  <c r="L7" i="1"/>
  <c r="L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<sst xmlns="http://schemas.openxmlformats.org/spreadsheetml/2006/main" count="179" uniqueCount="130">
  <si>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</si>
  <si>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</si>
  <si>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</si>
  <si>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</si>
  <si>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</si>
  <si>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</si>
  <si>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</si>
  <si>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</si>
  <si>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</si>
  <si>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</si>
  <si>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</si>
  <si>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</si>
  <si>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</si>
  <si>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</si>
  <si>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</si>
  <si>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</si>
  <si>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</si>
  <si>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</si>
  <si>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</si>
  <si>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</si>
  <si>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</si>
  <si>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</si>
  <si>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</si>
  <si>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</si>
  <si>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</si>
  <si>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</si>
  <si>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</si>
  <si>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</si>
  <si>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</si>
  <si>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</si>
  <si>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</si>
  <si>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</si>
  <si>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</si>
  <si>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</si>
  <si>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</si>
  <si>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</si>
  <si>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</si>
  <si>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</si>
  <si>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</si>
  <si>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</si>
  <si>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</si>
  <si>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</si>
  <si>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</si>
  <si>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</si>
  <si>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</si>
  <si>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</si>
  <si>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</si>
  <si>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</si>
  <si>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</si>
  <si>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</si>
  <si>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</si>
  <si>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</si>
  <si>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</si>
  <si>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</si>
  <si>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</si>
  <si>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</si>
  <si>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</si>
  <si>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</si>
  <si>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</si>
  <si>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</si>
  <si>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</si>
  <si>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</si>
  <si>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</si>
  <si>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</si>
  <si>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</si>
  <si>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</si>
  <si>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</si>
  <si>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</si>
  <si>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</si>
  <si>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</si>
  <si>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</si>
  <si>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</si>
  <si>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</si>
  <si>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</si>
  <si>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</si>
  <si>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</si>
  <si>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</si>
  <si>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</si>
  <si>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</si>
  <si>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</si>
  <si>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</si>
  <si>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</si>
  <si>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</si>
  <si>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</si>
  <si>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</si>
  <si>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</si>
  <si>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</si>
  <si>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</si>
  <si>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</si>
  <si>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</si>
  <si>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</si>
  <si>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</si>
  <si>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</si>
  <si>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Calculate the total price of all products in the dataset.</t>
  </si>
  <si>
    <t>Sum</t>
  </si>
  <si>
    <t>SUM(D2:D35)</t>
  </si>
  <si>
    <t>Determine how many products exist in the dataset.</t>
  </si>
  <si>
    <t>Product count</t>
  </si>
  <si>
    <t>COUNTA(B2:B35)</t>
  </si>
  <si>
    <t>Calculate the average price of the products.</t>
  </si>
  <si>
    <t>Average</t>
  </si>
  <si>
    <t>AVERAGE(D2:D35)</t>
  </si>
  <si>
    <t>Identify the minimum price among all products.</t>
  </si>
  <si>
    <t>Minimum</t>
  </si>
  <si>
    <t>MIN(D2:D35)</t>
  </si>
  <si>
    <t>Identify the maximum price among all products.</t>
  </si>
  <si>
    <t>Maximum</t>
  </si>
  <si>
    <t>MAX(D2:D35)</t>
  </si>
  <si>
    <t>Use the IF function to categorize products based on their price:</t>
  </si>
  <si>
    <t>Price Range</t>
  </si>
  <si>
    <t>IF case</t>
  </si>
  <si>
    <t>IF(D2:D35&gt;=500,"High Price","Standard Price")</t>
  </si>
  <si>
    <t>Use the SUMIF function to calculate the total price of products in the Electronics category.</t>
  </si>
  <si>
    <t>Sumif</t>
  </si>
  <si>
    <t>SUMIF(F2:F35,"Electronics",D2:D35)</t>
  </si>
  <si>
    <t>Use the COUNTIF function to determine the number of products with a price less than $100.</t>
  </si>
  <si>
    <t>countif</t>
  </si>
  <si>
    <t>COUNTIF(D2:D35,"&lt;100")</t>
  </si>
  <si>
    <t>Create a new column named Day with the first 2 characters of each 'Product ID' using the LEFT function.</t>
  </si>
  <si>
    <t>Day</t>
  </si>
  <si>
    <t>Left</t>
  </si>
  <si>
    <t>LEFT(A2:A35,2)</t>
  </si>
  <si>
    <t>Create a new column named Country Code by extracting the last 2</t>
  </si>
  <si>
    <t>right</t>
  </si>
  <si>
    <t>Country code</t>
  </si>
  <si>
    <t>RIGHT(A2:A35,2)</t>
  </si>
  <si>
    <t>Create a new column named Month by extracting the 4th to 6th</t>
  </si>
  <si>
    <t>Month</t>
  </si>
  <si>
    <t>Mid</t>
  </si>
  <si>
    <t>MID(A2:A35,4,3)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</si>
</sst>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4" fillId="0" borderId="0" xfId="0" applyFont="1" applyAlignment="1">
      <alignment horizontal="center"/>
    </xf>
    <xf numFmtId="0" fontId="5" fillId="0" borderId="0" xfId="0" applyFont="1"/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6" fillId="2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3" fillId="0" borderId="0" xfId="0" applyFont="1"/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00"/>
  <sheetViews>
    <sheetView tabSelected="1" workbookViewId="0">
      <selection activeCell="N18" sqref="N18"/>
    </sheetView>
  </sheetViews>
  <sheetFormatPr defaultColWidth="12.6640625" defaultRowHeight="15" customHeight="1" x14ac:dyDescent="0.25"/>
  <cols>
    <col min="2" max="2" width="14.109375" customWidth="1"/>
    <col min="7" max="7" width="13.33203125" bestFit="1" customWidth="1"/>
    <col min="11" max="11" width="15.109375" customWidth="1"/>
    <col min="12" max="12" width="16.88671875" customWidth="1"/>
    <col min="13" max="13" width="31.88671875" bestFit="1" customWidth="1"/>
  </cols>
  <sheetData>
    <row r="1" spans="1:13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0" t="s">
        <v>109</v>
      </c>
      <c r="H1" s="10" t="s">
        <v>119</v>
      </c>
      <c r="I1" s="10" t="s">
        <v>124</v>
      </c>
      <c r="J1" s="10" t="s">
        <v>127</v>
      </c>
      <c r="K1" t="s">
        <v>93</v>
      </c>
    </row>
    <row r="2" spans="1:13" ht="15.75" customHeight="1" x14ac:dyDescent="0.25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12" t="s">
        <v>9</v>
      </c>
      <c r="G2" s="2" t="str" cm="1">
        <f t="array" ref="G2:G35">IF(D2:D35&gt;=500,"High Price","Standard Price")</f>
        <v>High Price</v>
      </c>
      <c r="H2" s="14" t="str" cm="1">
        <f t="array" ref="H2:H35">LEFT(A2:A35,2)</f>
        <v>28</v>
      </c>
      <c r="I2" s="14" t="str" cm="1">
        <f t="array" ref="I2:I35">RIGHT(A2:A35,2)</f>
        <v>US</v>
      </c>
      <c r="J2" s="14" t="str" cm="1">
        <f t="array" ref="J2:J35">MID(A2:A35,4,3)</f>
        <v>JAN</v>
      </c>
    </row>
    <row r="3" spans="1:13" ht="15.75" customHeight="1" x14ac:dyDescent="0.25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s="3" t="str">
        <v>Standard Price</v>
      </c>
      <c r="H3" s="13" t="str">
        <v>15</v>
      </c>
      <c r="I3" s="13" t="str">
        <v>US</v>
      </c>
      <c r="J3" s="13" t="str">
        <v>FEB</v>
      </c>
      <c r="K3" s="4" t="s">
        <v>94</v>
      </c>
      <c r="L3" s="6">
        <f>SUM(D2:D35)</f>
        <v>10100</v>
      </c>
      <c r="M3" s="7" t="s">
        <v>95</v>
      </c>
    </row>
    <row r="4" spans="1:13" ht="15.75" customHeight="1" x14ac:dyDescent="0.25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G4" s="2" t="str">
        <v>Standard Price</v>
      </c>
      <c r="H4" s="14" t="str">
        <v>03</v>
      </c>
      <c r="I4" s="14" t="str">
        <v>US</v>
      </c>
      <c r="J4" s="14" t="str">
        <v>MAR</v>
      </c>
    </row>
    <row r="5" spans="1:13" ht="15.75" customHeight="1" x14ac:dyDescent="0.25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G5" s="3" t="str">
        <v>High Price</v>
      </c>
      <c r="H5" s="13" t="str">
        <v>11</v>
      </c>
      <c r="I5" s="13" t="str">
        <v>US</v>
      </c>
      <c r="J5" s="13" t="str">
        <v>APR</v>
      </c>
      <c r="K5" t="s">
        <v>96</v>
      </c>
    </row>
    <row r="6" spans="1:13" ht="15.75" customHeight="1" x14ac:dyDescent="0.25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  <c r="G6" s="2" t="str">
        <v>Standard Price</v>
      </c>
      <c r="H6" s="14" t="str">
        <v>22</v>
      </c>
      <c r="I6" s="14" t="str">
        <v>US</v>
      </c>
      <c r="J6" s="14" t="str">
        <v>MAY</v>
      </c>
    </row>
    <row r="7" spans="1:13" ht="15.75" customHeight="1" x14ac:dyDescent="0.25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  <c r="G7" s="3" t="str">
        <v>Standard Price</v>
      </c>
      <c r="H7" s="13" t="str">
        <v>07</v>
      </c>
      <c r="I7" s="13" t="str">
        <v>UK</v>
      </c>
      <c r="J7" s="13" t="str">
        <v>JUN</v>
      </c>
      <c r="K7" s="4" t="s">
        <v>97</v>
      </c>
      <c r="L7" s="6">
        <f>COUNTA(B2:B35)</f>
        <v>34</v>
      </c>
      <c r="M7" s="9" t="s">
        <v>98</v>
      </c>
    </row>
    <row r="8" spans="1:13" ht="15.75" customHeight="1" x14ac:dyDescent="0.25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G8" s="2" t="str">
        <v>Standard Price</v>
      </c>
      <c r="H8" s="14" t="str">
        <v>19</v>
      </c>
      <c r="I8" s="14" t="str">
        <v>UK</v>
      </c>
      <c r="J8" s="14" t="str">
        <v>JUL</v>
      </c>
    </row>
    <row r="9" spans="1:13" ht="15.75" customHeight="1" x14ac:dyDescent="0.25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G9" s="3" t="str">
        <v>Standard Price</v>
      </c>
      <c r="H9" s="13" t="str">
        <v>23</v>
      </c>
      <c r="I9" s="13" t="str">
        <v>UK</v>
      </c>
      <c r="J9" s="13" t="str">
        <v>AUG</v>
      </c>
      <c r="K9" t="s">
        <v>99</v>
      </c>
    </row>
    <row r="10" spans="1:13" ht="15.75" customHeight="1" x14ac:dyDescent="0.25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G10" s="2" t="str">
        <v>High Price</v>
      </c>
      <c r="H10" s="14" t="str">
        <v>05</v>
      </c>
      <c r="I10" s="14" t="str">
        <v>UK</v>
      </c>
      <c r="J10" s="14" t="str">
        <v>SEP</v>
      </c>
    </row>
    <row r="11" spans="1:13" ht="15.75" customHeight="1" x14ac:dyDescent="0.25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  <c r="G11" s="3" t="str">
        <v>Standard Price</v>
      </c>
      <c r="H11" s="13" t="str">
        <v>14</v>
      </c>
      <c r="I11" s="13" t="str">
        <v>UK</v>
      </c>
      <c r="J11" s="13" t="str">
        <v>OCT</v>
      </c>
      <c r="K11" s="4" t="s">
        <v>100</v>
      </c>
      <c r="L11" s="6">
        <f>AVERAGE(D2:D35)</f>
        <v>297.05882352941177</v>
      </c>
      <c r="M11" s="9" t="s">
        <v>101</v>
      </c>
    </row>
    <row r="12" spans="1:13" ht="15.75" customHeight="1" x14ac:dyDescent="0.25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  <c r="G12" s="2" t="str">
        <v>High Price</v>
      </c>
      <c r="H12" s="14" t="str">
        <v>17</v>
      </c>
      <c r="I12" s="14" t="str">
        <v>IN</v>
      </c>
      <c r="J12" s="14" t="str">
        <v>JUN</v>
      </c>
    </row>
    <row r="13" spans="1:13" ht="15.75" customHeight="1" x14ac:dyDescent="0.25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  <c r="G13" s="3" t="str">
        <v>Standard Price</v>
      </c>
      <c r="H13" s="13" t="str">
        <v>25</v>
      </c>
      <c r="I13" s="13" t="str">
        <v>AU</v>
      </c>
      <c r="J13" s="13" t="str">
        <v>NOV</v>
      </c>
      <c r="K13" t="s">
        <v>102</v>
      </c>
    </row>
    <row r="14" spans="1:13" ht="15.75" customHeight="1" x14ac:dyDescent="0.25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  <c r="G14" s="2" t="str">
        <v>Standard Price</v>
      </c>
      <c r="H14" s="14" t="str">
        <v>08</v>
      </c>
      <c r="I14" s="14" t="str">
        <v>DE</v>
      </c>
      <c r="J14" s="14" t="str">
        <v>DEC</v>
      </c>
    </row>
    <row r="15" spans="1:13" ht="15.75" customHeight="1" x14ac:dyDescent="0.25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  <c r="G15" s="3" t="str">
        <v>Standard Price</v>
      </c>
      <c r="H15" s="13" t="str">
        <v>18</v>
      </c>
      <c r="I15" s="13" t="str">
        <v>CA</v>
      </c>
      <c r="J15" s="13" t="str">
        <v>FEB</v>
      </c>
      <c r="K15" s="4" t="s">
        <v>103</v>
      </c>
      <c r="L15" s="6">
        <f>MIN(D2:D35)</f>
        <v>30</v>
      </c>
      <c r="M15" s="9" t="s">
        <v>104</v>
      </c>
    </row>
    <row r="16" spans="1:13" ht="15.75" customHeight="1" x14ac:dyDescent="0.25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  <c r="G16" s="2" t="str">
        <v>Standard Price</v>
      </c>
      <c r="H16" s="14" t="str">
        <v>16</v>
      </c>
      <c r="I16" s="14" t="str">
        <v>ES</v>
      </c>
      <c r="J16" s="14" t="str">
        <v>APR</v>
      </c>
    </row>
    <row r="17" spans="1:13" ht="15.75" customHeight="1" x14ac:dyDescent="0.25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  <c r="G17" s="3" t="str">
        <v>Standard Price</v>
      </c>
      <c r="H17" s="13" t="str">
        <v>21</v>
      </c>
      <c r="I17" s="13" t="str">
        <v>CA</v>
      </c>
      <c r="J17" s="13" t="str">
        <v>AUG</v>
      </c>
      <c r="K17" t="s">
        <v>105</v>
      </c>
    </row>
    <row r="18" spans="1:13" ht="15.75" customHeight="1" x14ac:dyDescent="0.25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  <c r="G18" s="2" t="str">
        <v>Standard Price</v>
      </c>
      <c r="H18" s="14" t="str">
        <v>20</v>
      </c>
      <c r="I18" s="14" t="str">
        <v>CN</v>
      </c>
      <c r="J18" s="14" t="str">
        <v>AUG</v>
      </c>
    </row>
    <row r="19" spans="1:13" ht="15.75" customHeight="1" x14ac:dyDescent="0.25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  <c r="G19" s="3" t="str">
        <v>High Price</v>
      </c>
      <c r="H19" s="13" t="str">
        <v>27</v>
      </c>
      <c r="I19" s="13" t="str">
        <v>IT</v>
      </c>
      <c r="J19" s="13" t="str">
        <v>JAN</v>
      </c>
      <c r="K19" s="4" t="s">
        <v>106</v>
      </c>
      <c r="L19" s="6">
        <f>MAX(D2:D35)</f>
        <v>1000</v>
      </c>
      <c r="M19" s="9" t="s">
        <v>107</v>
      </c>
    </row>
    <row r="20" spans="1:13" ht="15.75" customHeight="1" x14ac:dyDescent="0.25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  <c r="G20" s="2" t="str">
        <v>Standard Price</v>
      </c>
      <c r="H20" s="14" t="str">
        <v>01</v>
      </c>
      <c r="I20" s="14" t="str">
        <v>UK</v>
      </c>
      <c r="J20" s="14" t="str">
        <v>MAR</v>
      </c>
    </row>
    <row r="21" spans="1:13" ht="15.75" customHeight="1" x14ac:dyDescent="0.25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  <c r="G21" s="3" t="str">
        <v>Standard Price</v>
      </c>
      <c r="H21" s="13" t="str">
        <v>14</v>
      </c>
      <c r="I21" s="13" t="str">
        <v>US</v>
      </c>
      <c r="J21" s="13" t="str">
        <v>AUG</v>
      </c>
      <c r="K21" t="s">
        <v>108</v>
      </c>
    </row>
    <row r="22" spans="1:13" ht="15.75" customHeight="1" x14ac:dyDescent="0.25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  <c r="G22" s="2" t="str">
        <v>High Price</v>
      </c>
      <c r="H22" s="14" t="str">
        <v>14</v>
      </c>
      <c r="I22" s="14" t="str">
        <v>RU</v>
      </c>
      <c r="J22" s="14" t="str">
        <v>MAY</v>
      </c>
    </row>
    <row r="23" spans="1:13" ht="15.75" customHeight="1" x14ac:dyDescent="0.25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  <c r="G23" s="3" t="str">
        <v>Standard Price</v>
      </c>
      <c r="H23" s="13" t="str">
        <v>09</v>
      </c>
      <c r="I23" s="13" t="str">
        <v>CA</v>
      </c>
      <c r="J23" s="13" t="str">
        <v>JAN</v>
      </c>
      <c r="K23" s="4" t="s">
        <v>110</v>
      </c>
      <c r="L23" s="11" t="s">
        <v>111</v>
      </c>
      <c r="M23" s="11"/>
    </row>
    <row r="24" spans="1:13" ht="15.75" customHeight="1" x14ac:dyDescent="0.25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  <c r="G24" s="2" t="str">
        <v>Standard Price</v>
      </c>
      <c r="H24" s="14" t="str">
        <v>19</v>
      </c>
      <c r="I24" s="14" t="str">
        <v>BR</v>
      </c>
      <c r="J24" s="14" t="str">
        <v>JUL</v>
      </c>
    </row>
    <row r="25" spans="1:13" ht="15.75" customHeight="1" x14ac:dyDescent="0.25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  <c r="G25" s="3" t="str">
        <v>Standard Price</v>
      </c>
      <c r="H25" s="13" t="str">
        <v>21</v>
      </c>
      <c r="I25" s="13" t="str">
        <v>CA</v>
      </c>
      <c r="J25" s="13" t="str">
        <v>AUG</v>
      </c>
      <c r="K25" s="5" t="s">
        <v>112</v>
      </c>
    </row>
    <row r="26" spans="1:13" ht="15.75" customHeight="1" x14ac:dyDescent="0.25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  <c r="G26" s="2" t="str">
        <v>High Price</v>
      </c>
      <c r="H26" s="14" t="str">
        <v>29</v>
      </c>
      <c r="I26" s="14" t="str">
        <v>CA</v>
      </c>
      <c r="J26" s="14" t="str">
        <v>SEP</v>
      </c>
    </row>
    <row r="27" spans="1:13" ht="15.75" customHeight="1" x14ac:dyDescent="0.25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  <c r="G27" s="3" t="str">
        <v>Standard Price</v>
      </c>
      <c r="H27" s="13" t="str">
        <v>03</v>
      </c>
      <c r="I27" s="13" t="str">
        <v>CA</v>
      </c>
      <c r="J27" s="13" t="str">
        <v>JUN</v>
      </c>
      <c r="K27" s="4" t="s">
        <v>113</v>
      </c>
      <c r="L27" s="6">
        <f>SUMIF(F2:F35,"Electronics",D2:D35)</f>
        <v>8050</v>
      </c>
      <c r="M27" s="8" t="s">
        <v>114</v>
      </c>
    </row>
    <row r="28" spans="1:13" ht="15.75" customHeight="1" x14ac:dyDescent="0.25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  <c r="G28" s="2" t="str">
        <v>Standard Price</v>
      </c>
      <c r="H28" s="14" t="str">
        <v>11</v>
      </c>
      <c r="I28" s="14" t="str">
        <v>CA</v>
      </c>
      <c r="J28" s="14" t="str">
        <v>JUL</v>
      </c>
    </row>
    <row r="29" spans="1:13" ht="15.75" customHeight="1" x14ac:dyDescent="0.25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  <c r="G29" s="3" t="str">
        <v>Standard Price</v>
      </c>
      <c r="H29" s="13" t="str">
        <v>16</v>
      </c>
      <c r="I29" s="13" t="str">
        <v>ES</v>
      </c>
      <c r="J29" s="13" t="str">
        <v>APR</v>
      </c>
      <c r="K29" s="5" t="s">
        <v>115</v>
      </c>
    </row>
    <row r="30" spans="1:13" ht="15.75" customHeight="1" x14ac:dyDescent="0.25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  <c r="G30" s="2" t="str">
        <v>Standard Price</v>
      </c>
      <c r="H30" s="14" t="str">
        <v>07</v>
      </c>
      <c r="I30" s="14" t="str">
        <v>CA</v>
      </c>
      <c r="J30" s="14" t="str">
        <v>MAR</v>
      </c>
    </row>
    <row r="31" spans="1:13" ht="15.75" customHeight="1" x14ac:dyDescent="0.25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  <c r="G31" s="3" t="str">
        <v>Standard Price</v>
      </c>
      <c r="H31" s="13" t="str">
        <v>13</v>
      </c>
      <c r="I31" s="13" t="str">
        <v>CA</v>
      </c>
      <c r="J31" s="13" t="str">
        <v>APR</v>
      </c>
      <c r="K31" s="4" t="s">
        <v>116</v>
      </c>
      <c r="L31" s="6">
        <f>COUNTIF(D2:D35,"&lt;100")</f>
        <v>11</v>
      </c>
      <c r="M31" s="9" t="s">
        <v>117</v>
      </c>
    </row>
    <row r="32" spans="1:13" ht="15.75" customHeight="1" x14ac:dyDescent="0.25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  <c r="G32" s="2" t="str">
        <v>Standard Price</v>
      </c>
      <c r="H32" s="14" t="str">
        <v>24</v>
      </c>
      <c r="I32" s="14" t="str">
        <v>CA</v>
      </c>
      <c r="J32" s="14" t="str">
        <v>MAY</v>
      </c>
    </row>
    <row r="33" spans="1:12" ht="15.75" customHeight="1" x14ac:dyDescent="0.25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  <c r="G33" s="3" t="str">
        <v>Standard Price</v>
      </c>
      <c r="H33" s="13" t="str">
        <v>02</v>
      </c>
      <c r="I33" s="13" t="str">
        <v>CA</v>
      </c>
      <c r="J33" s="13" t="str">
        <v>DEC</v>
      </c>
      <c r="K33" s="5" t="s">
        <v>118</v>
      </c>
    </row>
    <row r="34" spans="1:12" ht="15.75" customHeight="1" x14ac:dyDescent="0.25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  <c r="G34" s="2" t="str">
        <v>High Price</v>
      </c>
      <c r="H34" s="14" t="str">
        <v>17</v>
      </c>
      <c r="I34" s="14" t="str">
        <v>IN</v>
      </c>
      <c r="J34" s="14" t="str">
        <v>JUN</v>
      </c>
    </row>
    <row r="35" spans="1:12" ht="15.75" customHeight="1" x14ac:dyDescent="0.25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  <c r="G35" s="3" t="str">
        <v>Standard Price</v>
      </c>
      <c r="H35" s="13" t="str">
        <v>09</v>
      </c>
      <c r="I35" s="13" t="str">
        <v>FR</v>
      </c>
      <c r="J35" s="13" t="str">
        <v>JUL</v>
      </c>
      <c r="K35" s="4" t="s">
        <v>120</v>
      </c>
      <c r="L35" s="9" t="s">
        <v>121</v>
      </c>
    </row>
    <row r="36" spans="1:12" ht="15.75" customHeight="1" x14ac:dyDescent="0.25"/>
    <row r="37" spans="1:12" ht="15.75" customHeight="1" x14ac:dyDescent="0.25">
      <c r="K37" t="s">
        <v>122</v>
      </c>
    </row>
    <row r="38" spans="1:12" ht="15.75" customHeight="1" x14ac:dyDescent="0.25"/>
    <row r="39" spans="1:12" ht="15.75" customHeight="1" x14ac:dyDescent="0.25">
      <c r="K39" s="4" t="s">
        <v>123</v>
      </c>
      <c r="L39" s="9" t="s">
        <v>125</v>
      </c>
    </row>
    <row r="40" spans="1:12" ht="15.75" customHeight="1" x14ac:dyDescent="0.25"/>
    <row r="41" spans="1:12" ht="15.75" customHeight="1" x14ac:dyDescent="0.25">
      <c r="K41" t="s">
        <v>126</v>
      </c>
    </row>
    <row r="42" spans="1:12" ht="15.75" customHeight="1" x14ac:dyDescent="0.25"/>
    <row r="43" spans="1:12" ht="15.75" customHeight="1" x14ac:dyDescent="0.25">
      <c r="K43" s="4" t="s">
        <v>128</v>
      </c>
      <c r="L43" s="9" t="s">
        <v>129</v>
      </c>
    </row>
    <row r="44" spans="1:12" ht="15.75" customHeight="1" x14ac:dyDescent="0.25"/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L23:M23"/>
  </mergeCells>
  <pageMargins left="0.7" right="0.7" top="0.75" bottom="0.75" header="0.3" footer="0.3"/>
  <headerFooter>
    <oddFooter>&amp;R_x000D_&amp;1#&amp;"Arial"&amp;10&amp;K000000 Confidential C</oddFooter>
  </headerFooter>
</worksheet>
</file>

<file path=docMetadata/LabelInfo.xml><?xml version="1.0" encoding="utf-8"?>
<clbl:labelList xmlns:clbl="http://schemas.microsoft.com/office/2020/mipLabelMetadata">
  <clbl:label id="{fd1c0902-ed92-4fed-896d-2e7725de02d4}" enabled="1" method="Standard" siteId="{d6b0bbee-7cd9-4d60-bce6-4a67b543e2a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MOORTHY Durga</dc:creator>
  <cp:lastModifiedBy>MOORTHY Durga</cp:lastModifiedBy>
  <dcterms:created xsi:type="dcterms:W3CDTF">2026-09-18T19:36:59Z</dcterms:created>
  <dcterms:modified xsi:type="dcterms:W3CDTF">2026-09-18T19:36:59Z</dcterms:modified>
</cp:coreProperties>
</file>